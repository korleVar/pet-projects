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17" i="1"/>
  <c r="E14" i="1"/>
  <c r="E15" i="1"/>
  <c r="E16" i="1"/>
  <c r="E13" i="1"/>
  <c r="B14" i="1"/>
  <c r="B13" i="1"/>
  <c r="E12" i="1"/>
  <c r="B20" i="1"/>
  <c r="B17" i="1"/>
  <c r="B16" i="1"/>
  <c r="B15" i="1"/>
  <c r="B9" i="1"/>
  <c r="B8" i="1"/>
  <c r="B7" i="1"/>
  <c r="B6" i="1"/>
  <c r="B5" i="1"/>
  <c r="B12" i="1"/>
  <c r="B11" i="1"/>
</calcChain>
</file>

<file path=xl/sharedStrings.xml><?xml version="1.0" encoding="utf-8"?>
<sst xmlns="http://schemas.openxmlformats.org/spreadsheetml/2006/main" count="49" uniqueCount="36">
  <si>
    <t>Поток данных</t>
  </si>
  <si>
    <t>Ср. кол-во сообщений в ед. времени</t>
  </si>
  <si>
    <t>Период пиковой нагрузки</t>
  </si>
  <si>
    <t>Пиковое кол-во сообщений в ед. времени</t>
  </si>
  <si>
    <t>Данные нового заказа</t>
  </si>
  <si>
    <t>Список свободных заказов</t>
  </si>
  <si>
    <t>Команда забронировать зака</t>
  </si>
  <si>
    <t>Подтверждение брони</t>
  </si>
  <si>
    <t>Статус «заказ получен в точке комплектации»</t>
  </si>
  <si>
    <t>Статус «заказ доставлен клиенту»</t>
  </si>
  <si>
    <t>Команда переназначить заказ</t>
  </si>
  <si>
    <t>Отчеты по заказам</t>
  </si>
  <si>
    <t>Отчеты по доставкам</t>
  </si>
  <si>
    <t>Данные о начисленной оплате</t>
  </si>
  <si>
    <t>Настройки прав доступа</t>
  </si>
  <si>
    <t>Справочник адресов</t>
  </si>
  <si>
    <t>Ex5-Определение требований к объекту и количеству для поток данных</t>
  </si>
  <si>
    <t>Ср. Кол-во заказов в день</t>
  </si>
  <si>
    <t xml:space="preserve">Кол-во курьеров </t>
  </si>
  <si>
    <t xml:space="preserve">Пик нагрузки </t>
  </si>
  <si>
    <t>с 11 до 15, с 17-21</t>
  </si>
  <si>
    <t>Курьеров одновременно</t>
  </si>
  <si>
    <t>Курьеров в пик</t>
  </si>
  <si>
    <t>Обновление списка в пик</t>
  </si>
  <si>
    <t>Обновление списка 1 курьером</t>
  </si>
  <si>
    <t>В ср за сутки в час</t>
  </si>
  <si>
    <t>Единоразово</t>
  </si>
  <si>
    <t>11-15, 17-21</t>
  </si>
  <si>
    <t>0.04</t>
  </si>
  <si>
    <t>0.08</t>
  </si>
  <si>
    <t xml:space="preserve">Ср. размер одного сообщения (Кбайт) </t>
  </si>
  <si>
    <t>0.5</t>
  </si>
  <si>
    <t>23-01</t>
  </si>
  <si>
    <t>12-14</t>
  </si>
  <si>
    <t>-</t>
  </si>
  <si>
    <t>1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</si>
</sst>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  <xf numFmtId="17" fontId="0" fillId="0" borderId="0" xfId="0" applyNumberFormat="1"/>
    <xf numFmtId="16" fontId="0" fillId="0" borderId="0" xfId="0" quotePrefix="1" applyNumberFormat="1"/>
    <xf numFmtId="17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horizontal="left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E19" sqref="E19"/>
    </sheetView>
  </sheetViews>
  <sheetFormatPr defaultRowHeight="14.4" x14ac:dyDescent="0.3"/>
  <cols>
    <col min="1" max="1" width="31.21875" customWidth="1"/>
    <col min="2" max="2" width="17.77734375" customWidth="1"/>
    <col min="3" max="3" width="17.88671875" customWidth="1"/>
    <col min="4" max="4" width="17.77734375" customWidth="1"/>
    <col min="5" max="5" width="18.109375" customWidth="1"/>
  </cols>
  <sheetData>
    <row r="1" spans="1:8" s="10" customFormat="1" x14ac:dyDescent="0.3">
      <c r="A1" s="9" t="s">
        <v>16</v>
      </c>
      <c r="B1" s="9"/>
      <c r="C1" s="9"/>
      <c r="D1" s="9"/>
      <c r="E1" s="9"/>
      <c r="F1" s="9"/>
      <c r="G1" s="9"/>
      <c r="H1" s="9"/>
    </row>
    <row r="2" spans="1:8" x14ac:dyDescent="0.3">
      <c r="A2" s="4" t="s">
        <v>17</v>
      </c>
      <c r="B2" s="4">
        <v>400</v>
      </c>
      <c r="C2" s="4"/>
      <c r="D2" s="4"/>
      <c r="E2" s="4"/>
      <c r="F2" s="4"/>
      <c r="G2" s="4"/>
      <c r="H2" s="4"/>
    </row>
    <row r="3" spans="1:8" x14ac:dyDescent="0.3">
      <c r="A3" s="4" t="s">
        <v>18</v>
      </c>
      <c r="B3" s="4">
        <v>35</v>
      </c>
      <c r="C3" s="4"/>
      <c r="D3" s="4"/>
      <c r="E3" s="4"/>
      <c r="F3" s="4"/>
      <c r="G3" s="4"/>
      <c r="H3" s="4"/>
    </row>
    <row r="4" spans="1:8" x14ac:dyDescent="0.3">
      <c r="A4" s="4" t="s">
        <v>19</v>
      </c>
      <c r="B4" s="4" t="s">
        <v>20</v>
      </c>
      <c r="C4" s="4"/>
      <c r="D4" s="4"/>
      <c r="E4" s="4"/>
      <c r="F4" s="4"/>
      <c r="G4" s="4"/>
      <c r="H4" s="4"/>
    </row>
    <row r="5" spans="1:8" x14ac:dyDescent="0.3">
      <c r="A5" s="4" t="s">
        <v>21</v>
      </c>
      <c r="B5" s="4">
        <f>(35*12)/24</f>
        <v>17.5</v>
      </c>
      <c r="C5" s="4"/>
      <c r="D5" s="4"/>
      <c r="E5" s="4"/>
      <c r="F5" s="4"/>
      <c r="G5" s="4"/>
      <c r="H5" s="4"/>
    </row>
    <row r="6" spans="1:8" x14ac:dyDescent="0.3">
      <c r="A6" s="4" t="s">
        <v>22</v>
      </c>
      <c r="B6" s="4">
        <f>35*0.8</f>
        <v>28</v>
      </c>
      <c r="C6" s="4"/>
      <c r="D6" s="4"/>
      <c r="E6" s="4"/>
      <c r="F6" s="4"/>
      <c r="G6" s="4"/>
      <c r="H6" s="4"/>
    </row>
    <row r="7" spans="1:8" x14ac:dyDescent="0.3">
      <c r="A7" s="4" t="s">
        <v>24</v>
      </c>
      <c r="B7" s="4">
        <f>3600/30</f>
        <v>120</v>
      </c>
      <c r="C7" s="4"/>
      <c r="D7" s="4"/>
      <c r="E7" s="4"/>
      <c r="F7" s="4"/>
      <c r="G7" s="4"/>
      <c r="H7" s="4"/>
    </row>
    <row r="8" spans="1:8" x14ac:dyDescent="0.3">
      <c r="A8" s="4" t="s">
        <v>23</v>
      </c>
      <c r="B8" s="4">
        <f>28*120</f>
        <v>3360</v>
      </c>
      <c r="C8" s="4"/>
      <c r="D8" s="4"/>
      <c r="E8" s="4"/>
      <c r="F8" s="4"/>
      <c r="G8" s="4"/>
      <c r="H8" s="4"/>
    </row>
    <row r="9" spans="1:8" x14ac:dyDescent="0.3">
      <c r="A9" s="4" t="s">
        <v>25</v>
      </c>
      <c r="B9" s="4">
        <f>(35*12*1200)/24</f>
        <v>21000</v>
      </c>
      <c r="C9" s="4"/>
      <c r="D9" s="4"/>
      <c r="E9" s="4"/>
      <c r="F9" s="4"/>
      <c r="G9" s="4"/>
      <c r="H9" s="4"/>
    </row>
    <row r="10" spans="1:8" ht="43.2" x14ac:dyDescent="0.3">
      <c r="A10" s="3" t="s">
        <v>0</v>
      </c>
      <c r="B10" s="3" t="s">
        <v>1</v>
      </c>
      <c r="C10" s="3" t="s">
        <v>30</v>
      </c>
      <c r="D10" s="3" t="s">
        <v>2</v>
      </c>
      <c r="E10" s="3" t="s">
        <v>3</v>
      </c>
      <c r="F10" s="1"/>
      <c r="G10" s="1"/>
      <c r="H10" s="1"/>
    </row>
    <row r="11" spans="1:8" x14ac:dyDescent="0.3">
      <c r="A11" s="1" t="s">
        <v>4</v>
      </c>
      <c r="B11" s="4">
        <f>400/24</f>
        <v>16.666666666666668</v>
      </c>
      <c r="C11">
        <v>2</v>
      </c>
      <c r="D11" t="s">
        <v>27</v>
      </c>
      <c r="E11">
        <v>40</v>
      </c>
    </row>
    <row r="12" spans="1:8" x14ac:dyDescent="0.3">
      <c r="A12" s="1" t="s">
        <v>5</v>
      </c>
      <c r="B12" s="4">
        <f>(35*12*120)/24</f>
        <v>2100</v>
      </c>
      <c r="C12">
        <v>5</v>
      </c>
      <c r="D12" t="s">
        <v>27</v>
      </c>
      <c r="E12">
        <f>28*120</f>
        <v>3360</v>
      </c>
    </row>
    <row r="13" spans="1:8" x14ac:dyDescent="0.3">
      <c r="A13" s="1" t="s">
        <v>6</v>
      </c>
      <c r="B13">
        <f>400*1.1/24</f>
        <v>18.333333333333336</v>
      </c>
      <c r="C13" t="s">
        <v>31</v>
      </c>
      <c r="D13" t="s">
        <v>27</v>
      </c>
      <c r="E13">
        <f>40*1.1</f>
        <v>44</v>
      </c>
    </row>
    <row r="14" spans="1:8" x14ac:dyDescent="0.3">
      <c r="A14" s="1" t="s">
        <v>7</v>
      </c>
      <c r="B14">
        <f>400*1.1/24</f>
        <v>18.333333333333336</v>
      </c>
      <c r="C14" t="s">
        <v>31</v>
      </c>
      <c r="D14" t="s">
        <v>27</v>
      </c>
      <c r="E14">
        <f t="shared" ref="E14:E16" si="0">40*1.1</f>
        <v>44</v>
      </c>
    </row>
    <row r="15" spans="1:8" ht="28.8" x14ac:dyDescent="0.3">
      <c r="A15" s="1" t="s">
        <v>8</v>
      </c>
      <c r="B15" s="4">
        <f>400/24</f>
        <v>16.666666666666668</v>
      </c>
      <c r="C15" t="s">
        <v>31</v>
      </c>
      <c r="D15" t="s">
        <v>27</v>
      </c>
      <c r="E15">
        <f t="shared" si="0"/>
        <v>44</v>
      </c>
    </row>
    <row r="16" spans="1:8" x14ac:dyDescent="0.3">
      <c r="A16" s="2" t="s">
        <v>9</v>
      </c>
      <c r="B16" s="4">
        <f>400/24</f>
        <v>16.666666666666668</v>
      </c>
      <c r="C16" t="s">
        <v>31</v>
      </c>
      <c r="D16" t="s">
        <v>27</v>
      </c>
      <c r="E16">
        <f t="shared" si="0"/>
        <v>44</v>
      </c>
    </row>
    <row r="17" spans="1:5" x14ac:dyDescent="0.3">
      <c r="A17" s="1" t="s">
        <v>10</v>
      </c>
      <c r="B17">
        <f>400*0.05/24</f>
        <v>0.83333333333333337</v>
      </c>
      <c r="C17" t="s">
        <v>31</v>
      </c>
      <c r="D17" t="s">
        <v>27</v>
      </c>
      <c r="E17">
        <f>40*0.05</f>
        <v>2</v>
      </c>
    </row>
    <row r="18" spans="1:5" x14ac:dyDescent="0.3">
      <c r="A18" s="1" t="s">
        <v>11</v>
      </c>
      <c r="B18" s="5" t="s">
        <v>28</v>
      </c>
      <c r="C18">
        <v>1000</v>
      </c>
      <c r="D18" s="6" t="s">
        <v>32</v>
      </c>
      <c r="E18">
        <v>1</v>
      </c>
    </row>
    <row r="19" spans="1:5" x14ac:dyDescent="0.3">
      <c r="A19" s="1" t="s">
        <v>12</v>
      </c>
      <c r="B19" s="5" t="s">
        <v>28</v>
      </c>
      <c r="C19">
        <v>1000</v>
      </c>
      <c r="D19" s="6" t="s">
        <v>32</v>
      </c>
      <c r="E19">
        <v>1</v>
      </c>
    </row>
    <row r="20" spans="1:5" x14ac:dyDescent="0.3">
      <c r="A20" s="1" t="s">
        <v>13</v>
      </c>
      <c r="B20" s="4">
        <f>400/24</f>
        <v>16.666666666666668</v>
      </c>
      <c r="C20">
        <v>50</v>
      </c>
      <c r="D20" t="s">
        <v>27</v>
      </c>
      <c r="E20">
        <f t="shared" ref="E20" si="1">40*1.1</f>
        <v>44</v>
      </c>
    </row>
    <row r="21" spans="1:5" x14ac:dyDescent="0.3">
      <c r="A21" s="1" t="s">
        <v>14</v>
      </c>
      <c r="B21" s="5" t="s">
        <v>29</v>
      </c>
      <c r="C21">
        <v>1</v>
      </c>
      <c r="D21" s="7" t="s">
        <v>33</v>
      </c>
      <c r="E21">
        <v>1</v>
      </c>
    </row>
    <row r="22" spans="1:5" x14ac:dyDescent="0.3">
      <c r="A22" s="1" t="s">
        <v>15</v>
      </c>
      <c r="B22" t="s">
        <v>26</v>
      </c>
      <c r="C22">
        <v>10000</v>
      </c>
      <c r="D22" s="8" t="s">
        <v>34</v>
      </c>
      <c r="E22" t="s">
        <v>35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2026-02-14T13:44:14Z</dcterms:modified>
</cp:coreProperties>
</file>